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enjamine/Documents/Labo/Coma 3D/Démographie_clinique_TSPO/"/>
    </mc:Choice>
  </mc:AlternateContent>
  <xr:revisionPtr revIDLastSave="0" documentId="13_ncr:1_{0C85F506-D3A6-C04A-97DA-5E7FBD21BBFE}" xr6:coauthVersionLast="47" xr6:coauthVersionMax="47" xr10:uidLastSave="{00000000-0000-0000-0000-000000000000}"/>
  <bookViews>
    <workbookView xWindow="0" yWindow="500" windowWidth="28800" windowHeight="16060" xr2:uid="{F02739F0-83FA-8942-A28E-B611F3EC7CEE}"/>
  </bookViews>
  <sheets>
    <sheet name="Coma3D patient" sheetId="1" r:id="rId1"/>
    <sheet name="Coma3D controle" sheetId="2" r:id="rId2"/>
  </sheets>
  <definedNames>
    <definedName name="_xlnm._FilterDatabase" localSheetId="0" hidden="1">'Coma3D patient'!$H$1:$H$31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S19" authorId="0" shapeId="0" xr:uid="{39F512B7-F121-0D43-B9EC-83DC7848CA9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10/08 : Sujet exclu des analyses IRM alors que TEP non réalisé mais IRM OK. à inclure ++</t>
        </r>
      </text>
    </comment>
    <comment ref="L21" authorId="0" shapeId="0" xr:uid="{C0ACF6D6-FC05-CE47-804F-3BC832B3AC5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Vérifier. IRM le 21 mais TEP le 18? </t>
        </r>
        <r>
          <rPr>
            <b/>
            <sz val="10"/>
            <color rgb="FF000000"/>
            <rFont val="Tahoma"/>
            <family val="2"/>
          </rPr>
          <t>IRM+ TEP le 22/03 d'après le suivi des surveillances</t>
        </r>
      </text>
    </comment>
  </commentList>
</comments>
</file>

<file path=xl/sharedStrings.xml><?xml version="1.0" encoding="utf-8"?>
<sst xmlns="http://schemas.openxmlformats.org/spreadsheetml/2006/main" count="295" uniqueCount="123">
  <si>
    <t>N°</t>
  </si>
  <si>
    <t>JF</t>
  </si>
  <si>
    <t>PD</t>
  </si>
  <si>
    <t>DB</t>
  </si>
  <si>
    <t>CD</t>
  </si>
  <si>
    <t>ME</t>
  </si>
  <si>
    <t>BM</t>
  </si>
  <si>
    <t>TA</t>
  </si>
  <si>
    <t>PE</t>
  </si>
  <si>
    <t>CP</t>
  </si>
  <si>
    <t>FF</t>
  </si>
  <si>
    <t>GL</t>
  </si>
  <si>
    <t>RC</t>
  </si>
  <si>
    <t>TL</t>
  </si>
  <si>
    <t>LY</t>
  </si>
  <si>
    <t>FC</t>
  </si>
  <si>
    <t>BE</t>
  </si>
  <si>
    <t>MP</t>
  </si>
  <si>
    <t>GT</t>
  </si>
  <si>
    <t>BT</t>
  </si>
  <si>
    <t>GC</t>
  </si>
  <si>
    <t>ZX</t>
  </si>
  <si>
    <t>AY</t>
  </si>
  <si>
    <t>AC</t>
  </si>
  <si>
    <t>Initiales</t>
  </si>
  <si>
    <t>Sexe</t>
  </si>
  <si>
    <t>F</t>
  </si>
  <si>
    <t>H</t>
  </si>
  <si>
    <t>Age</t>
  </si>
  <si>
    <t>Délai inclusion (j)</t>
  </si>
  <si>
    <t>ACR</t>
  </si>
  <si>
    <t>TC</t>
  </si>
  <si>
    <t xml:space="preserve">TC </t>
  </si>
  <si>
    <t>Etiologie</t>
  </si>
  <si>
    <t>Décès</t>
  </si>
  <si>
    <t>Décès (le 29/07/18)</t>
  </si>
  <si>
    <t>23/23</t>
  </si>
  <si>
    <t>17/23</t>
  </si>
  <si>
    <t>Devenir - CRS J90</t>
  </si>
  <si>
    <t>Inclusion</t>
  </si>
  <si>
    <t>Imagerie</t>
  </si>
  <si>
    <t>0 = décès ou CRS &lt; 10</t>
  </si>
  <si>
    <t>1 = CRS ≥ 10</t>
  </si>
  <si>
    <t>TSPO</t>
  </si>
  <si>
    <t>HAB</t>
  </si>
  <si>
    <t>MAB</t>
  </si>
  <si>
    <t>LAB</t>
  </si>
  <si>
    <t>FO</t>
  </si>
  <si>
    <t>LE</t>
  </si>
  <si>
    <t>GA</t>
  </si>
  <si>
    <t>GM</t>
  </si>
  <si>
    <t>IM</t>
  </si>
  <si>
    <t>NB</t>
  </si>
  <si>
    <t>NA</t>
  </si>
  <si>
    <t>DM</t>
  </si>
  <si>
    <t>DG</t>
  </si>
  <si>
    <t>LJ</t>
  </si>
  <si>
    <t>AE</t>
  </si>
  <si>
    <t>PM</t>
  </si>
  <si>
    <t>DT</t>
  </si>
  <si>
    <t>JR</t>
  </si>
  <si>
    <t>Cntrl</t>
  </si>
  <si>
    <t>DD</t>
  </si>
  <si>
    <t>BA</t>
  </si>
  <si>
    <t>M</t>
  </si>
  <si>
    <t>ddn</t>
  </si>
  <si>
    <t>date Imagerie</t>
  </si>
  <si>
    <t>ID</t>
  </si>
  <si>
    <t>Binar_Outcome</t>
  </si>
  <si>
    <t>DTI_ inclus</t>
  </si>
  <si>
    <t>motif exclusion</t>
  </si>
  <si>
    <t>STRUCTURE_T1-3D</t>
  </si>
  <si>
    <t>T1_VBM_incl</t>
  </si>
  <si>
    <t>ID_connVérif</t>
  </si>
  <si>
    <t>Motif exclusion</t>
  </si>
  <si>
    <t>PET_inclusion</t>
  </si>
  <si>
    <t>PET Exclusion</t>
  </si>
  <si>
    <t>Mouvement</t>
  </si>
  <si>
    <t>Qté image</t>
  </si>
  <si>
    <t>FONCTION</t>
  </si>
  <si>
    <t>INFLAMMATION</t>
  </si>
  <si>
    <t>Acquisition</t>
  </si>
  <si>
    <t>MC</t>
  </si>
  <si>
    <t>Date agression</t>
  </si>
  <si>
    <t>Panne TEP</t>
  </si>
  <si>
    <t>Flowchart COMA</t>
  </si>
  <si>
    <t xml:space="preserve">Inclusion n=25 (Anox 11 / TC14) </t>
  </si>
  <si>
    <t>Exclusion Struct: VBM: 0 / DTI 3</t>
  </si>
  <si>
    <t>Exclusion IRMf: 0</t>
  </si>
  <si>
    <t>Exclusion TEP: 8 (Anox: LAB 5 ; TC panne TEP 1 / Mvt-qualité 2)</t>
  </si>
  <si>
    <t>Analyses VMB: 25n  / DTI…...</t>
  </si>
  <si>
    <t>Analyses TEP: 17 (Anox 6 / TBI 11)</t>
  </si>
  <si>
    <r>
      <t xml:space="preserve">Analyses IRMf: 24 </t>
    </r>
    <r>
      <rPr>
        <sz val="12"/>
        <color rgb="FFFFC000"/>
        <rFont val="Calibri (Corps)"/>
      </rPr>
      <t>+1</t>
    </r>
  </si>
  <si>
    <t>Flowchart CONTROLES</t>
  </si>
  <si>
    <t xml:space="preserve">Inclusion n=24 </t>
  </si>
  <si>
    <t>Exclusion Struct: VBM: 1 / DTI 1</t>
  </si>
  <si>
    <t>Exclusion IRMf: 1</t>
  </si>
  <si>
    <t>Analyses VMB: 23  / DTI……</t>
  </si>
  <si>
    <t>Analyses IRMf: 23</t>
  </si>
  <si>
    <t>Analyses TEP: 20</t>
  </si>
  <si>
    <t>Anat. abnormality</t>
  </si>
  <si>
    <t>Anat. Abnormality</t>
  </si>
  <si>
    <t>cntrl</t>
  </si>
  <si>
    <t>Aberrant TAC</t>
  </si>
  <si>
    <t>Exclusion TEP: 4 (1 Lésion cervelet / 1 LAB/ 2 aberrant TAC)</t>
  </si>
  <si>
    <t>Radionucleide total dose</t>
  </si>
  <si>
    <t>Démographie / anamnèse/ outcome</t>
  </si>
  <si>
    <t>Demographie</t>
  </si>
  <si>
    <t>Poids</t>
  </si>
  <si>
    <t>CGS</t>
  </si>
  <si>
    <t>GCS Détail</t>
  </si>
  <si>
    <t>E1V1M4</t>
  </si>
  <si>
    <t>E1V1M1</t>
  </si>
  <si>
    <t>E2V1M1</t>
  </si>
  <si>
    <t>E2V1M2</t>
  </si>
  <si>
    <t>E4V1M1</t>
  </si>
  <si>
    <t>E4V1M4</t>
  </si>
  <si>
    <t>E1V1M3</t>
  </si>
  <si>
    <t>E4V1M3</t>
  </si>
  <si>
    <t>E1V1M5</t>
  </si>
  <si>
    <t xml:space="preserve"> 22/06/2021 </t>
  </si>
  <si>
    <t>07/10/21 (IRM) - 08/10/21 (TEP)</t>
  </si>
  <si>
    <t>Délai agression-imagerie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</si>
</sst>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C00000"/>
      <name val="Calibri (Corps)"/>
    </font>
    <font>
      <sz val="12"/>
      <color theme="5"/>
      <name val="Calibri (Corps)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FFC000"/>
      <name val="Calibri (Corps)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3" fontId="0" fillId="0" borderId="0" xfId="0" applyNumberFormat="1"/>
    <xf numFmtId="13" fontId="2" fillId="0" borderId="0" xfId="0" applyNumberFormat="1" applyFont="1"/>
    <xf numFmtId="49" fontId="2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14" fontId="7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/>
    <xf numFmtId="0" fontId="0" fillId="7" borderId="0" xfId="0" applyFill="1"/>
    <xf numFmtId="0" fontId="0" fillId="7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4" borderId="0" xfId="0" applyNumberFormat="1" applyFont="1" applyFill="1" applyAlignment="1">
      <alignment horizontal="right" vertical="center" wrapText="1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2593-CA5B-5E45-B8BC-6E46B75F306F}">
  <sheetPr codeName="Feuil1"/>
  <dimension ref="A1:AD31"/>
  <sheetViews>
    <sheetView tabSelected="1" topLeftCell="E1" zoomScale="70" zoomScaleNormal="70" workbookViewId="0">
      <selection activeCell="P2" sqref="P1:Q1048576"/>
    </sheetView>
  </sheetViews>
  <sheetFormatPr baseColWidth="10" defaultRowHeight="16" x14ac:dyDescent="0.2"/>
  <cols>
    <col min="2" max="2" width="7.6640625" bestFit="1" customWidth="1"/>
    <col min="3" max="3" width="5" customWidth="1"/>
    <col min="4" max="4" width="4.33203125" customWidth="1"/>
    <col min="5" max="5" width="13.33203125" customWidth="1"/>
    <col min="6" max="6" width="15" customWidth="1"/>
    <col min="7" max="7" width="21.5" bestFit="1" customWidth="1"/>
    <col min="8" max="9" width="8.33203125" customWidth="1"/>
    <col min="10" max="10" width="9.6640625" bestFit="1" customWidth="1"/>
    <col min="11" max="11" width="11.6640625" customWidth="1"/>
    <col min="12" max="12" width="28.6640625" bestFit="1" customWidth="1"/>
    <col min="13" max="13" width="19.33203125" customWidth="1"/>
    <col min="14" max="14" width="6" customWidth="1"/>
    <col min="15" max="15" width="19" customWidth="1"/>
    <col min="16" max="16" width="12" bestFit="1" customWidth="1"/>
    <col min="17" max="18" width="13.6640625" bestFit="1" customWidth="1"/>
    <col min="30" max="30" width="53.5" bestFit="1" customWidth="1"/>
  </cols>
  <sheetData>
    <row r="1" spans="1:30" x14ac:dyDescent="0.2">
      <c r="A1" s="23" t="s">
        <v>67</v>
      </c>
      <c r="B1" s="23"/>
      <c r="C1" s="22" t="s">
        <v>106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4" t="s">
        <v>71</v>
      </c>
      <c r="Q1" s="24"/>
      <c r="R1" s="24"/>
      <c r="S1" s="25" t="s">
        <v>79</v>
      </c>
      <c r="T1" s="25"/>
      <c r="U1" s="25"/>
      <c r="V1" s="26" t="s">
        <v>80</v>
      </c>
      <c r="W1" s="26"/>
    </row>
    <row r="2" spans="1:30" x14ac:dyDescent="0.2">
      <c r="A2" t="s">
        <v>0</v>
      </c>
      <c r="B2" t="s">
        <v>24</v>
      </c>
      <c r="C2" t="s">
        <v>25</v>
      </c>
      <c r="D2" t="s">
        <v>28</v>
      </c>
      <c r="E2" t="s">
        <v>83</v>
      </c>
      <c r="F2" t="s">
        <v>29</v>
      </c>
      <c r="G2" t="s">
        <v>122</v>
      </c>
      <c r="H2" t="s">
        <v>33</v>
      </c>
      <c r="I2" t="s">
        <v>109</v>
      </c>
      <c r="J2" t="s">
        <v>110</v>
      </c>
      <c r="K2" t="s">
        <v>39</v>
      </c>
      <c r="L2" t="s">
        <v>40</v>
      </c>
      <c r="M2" t="s">
        <v>38</v>
      </c>
      <c r="N2" t="s">
        <v>34</v>
      </c>
      <c r="O2" t="s">
        <v>68</v>
      </c>
      <c r="P2" t="s">
        <v>72</v>
      </c>
      <c r="Q2" t="s">
        <v>69</v>
      </c>
      <c r="R2" t="s">
        <v>70</v>
      </c>
      <c r="S2" t="s">
        <v>39</v>
      </c>
      <c r="T2" t="s">
        <v>74</v>
      </c>
      <c r="U2" t="s">
        <v>73</v>
      </c>
      <c r="V2" t="s">
        <v>75</v>
      </c>
      <c r="W2" t="s">
        <v>76</v>
      </c>
    </row>
    <row r="3" spans="1:30" x14ac:dyDescent="0.2">
      <c r="A3">
        <v>1</v>
      </c>
      <c r="B3" t="s">
        <v>1</v>
      </c>
      <c r="C3" s="1" t="s">
        <v>26</v>
      </c>
      <c r="D3">
        <v>18</v>
      </c>
      <c r="E3" s="3">
        <v>43144</v>
      </c>
      <c r="F3" s="18">
        <v>30</v>
      </c>
      <c r="G3" s="18">
        <f>L3-E3</f>
        <v>29</v>
      </c>
      <c r="H3" s="5" t="s">
        <v>30</v>
      </c>
      <c r="I3" s="5">
        <v>6</v>
      </c>
      <c r="J3" s="5" t="s">
        <v>111</v>
      </c>
      <c r="K3" s="2">
        <v>43173</v>
      </c>
      <c r="L3" s="3">
        <v>43173</v>
      </c>
      <c r="M3" s="8">
        <v>0.13043478260869565</v>
      </c>
      <c r="O3">
        <v>0</v>
      </c>
      <c r="P3">
        <v>1</v>
      </c>
      <c r="Q3">
        <v>1</v>
      </c>
      <c r="S3">
        <v>1</v>
      </c>
      <c r="U3">
        <v>1</v>
      </c>
      <c r="V3">
        <v>1</v>
      </c>
    </row>
    <row r="4" spans="1:30" x14ac:dyDescent="0.2">
      <c r="A4">
        <v>2</v>
      </c>
      <c r="B4" t="s">
        <v>2</v>
      </c>
      <c r="C4" s="1" t="s">
        <v>27</v>
      </c>
      <c r="D4">
        <v>59</v>
      </c>
      <c r="E4" s="3">
        <v>43187</v>
      </c>
      <c r="F4">
        <v>9</v>
      </c>
      <c r="G4">
        <f>L4-E4</f>
        <v>9</v>
      </c>
      <c r="H4" s="6" t="s">
        <v>30</v>
      </c>
      <c r="I4" s="6">
        <v>3</v>
      </c>
      <c r="J4" s="6" t="s">
        <v>112</v>
      </c>
      <c r="K4" s="2">
        <v>43196</v>
      </c>
      <c r="L4" s="3">
        <v>43196</v>
      </c>
      <c r="M4" t="s">
        <v>34</v>
      </c>
      <c r="N4">
        <v>1</v>
      </c>
      <c r="O4">
        <v>0</v>
      </c>
      <c r="P4">
        <v>1</v>
      </c>
      <c r="Q4">
        <v>1</v>
      </c>
      <c r="S4">
        <v>1</v>
      </c>
      <c r="U4">
        <v>2</v>
      </c>
      <c r="V4">
        <v>1</v>
      </c>
    </row>
    <row r="5" spans="1:30" x14ac:dyDescent="0.2">
      <c r="A5">
        <v>3</v>
      </c>
      <c r="B5" t="s">
        <v>3</v>
      </c>
      <c r="C5" s="1" t="s">
        <v>26</v>
      </c>
      <c r="D5">
        <v>39</v>
      </c>
      <c r="E5" s="3">
        <v>43241</v>
      </c>
      <c r="F5">
        <v>4</v>
      </c>
      <c r="G5">
        <f>L5-E5</f>
        <v>4</v>
      </c>
      <c r="H5" s="6" t="s">
        <v>31</v>
      </c>
      <c r="I5" s="6">
        <v>4</v>
      </c>
      <c r="J5" s="11" t="s">
        <v>112</v>
      </c>
      <c r="K5" s="2">
        <v>43245</v>
      </c>
      <c r="L5" s="3">
        <v>43245</v>
      </c>
      <c r="M5" s="9">
        <v>0.30434782608695654</v>
      </c>
      <c r="O5">
        <v>0</v>
      </c>
      <c r="P5">
        <v>1</v>
      </c>
      <c r="Q5">
        <v>1</v>
      </c>
      <c r="S5">
        <v>1</v>
      </c>
      <c r="U5">
        <v>3</v>
      </c>
      <c r="V5">
        <v>1</v>
      </c>
    </row>
    <row r="6" spans="1:30" x14ac:dyDescent="0.2">
      <c r="A6">
        <v>4</v>
      </c>
      <c r="B6" t="s">
        <v>4</v>
      </c>
      <c r="C6" s="1" t="s">
        <v>27</v>
      </c>
      <c r="D6">
        <v>55</v>
      </c>
      <c r="E6" s="3">
        <v>43256</v>
      </c>
      <c r="F6" s="18">
        <v>30</v>
      </c>
      <c r="G6" s="18">
        <f>L6-E6</f>
        <v>34</v>
      </c>
      <c r="H6" s="6" t="s">
        <v>30</v>
      </c>
      <c r="I6" s="6">
        <v>4</v>
      </c>
      <c r="J6" s="6" t="s">
        <v>113</v>
      </c>
      <c r="K6" s="2">
        <v>43290</v>
      </c>
      <c r="L6" s="3">
        <v>43290</v>
      </c>
      <c r="M6" s="8">
        <v>0.13043478260869565</v>
      </c>
      <c r="O6">
        <v>0</v>
      </c>
      <c r="P6">
        <v>1</v>
      </c>
      <c r="Q6">
        <v>1</v>
      </c>
      <c r="S6">
        <v>1</v>
      </c>
      <c r="U6">
        <v>4</v>
      </c>
      <c r="V6" s="17">
        <v>0</v>
      </c>
      <c r="W6" s="17" t="s">
        <v>46</v>
      </c>
    </row>
    <row r="7" spans="1:30" x14ac:dyDescent="0.2">
      <c r="A7">
        <v>5</v>
      </c>
      <c r="B7" t="s">
        <v>5</v>
      </c>
      <c r="C7" s="1" t="s">
        <v>26</v>
      </c>
      <c r="D7">
        <v>67</v>
      </c>
      <c r="E7" s="3">
        <v>43298</v>
      </c>
      <c r="F7">
        <v>6</v>
      </c>
      <c r="G7">
        <f>L7-E7</f>
        <v>6</v>
      </c>
      <c r="H7" s="6" t="s">
        <v>30</v>
      </c>
      <c r="I7" s="6">
        <v>6</v>
      </c>
      <c r="J7" s="11" t="s">
        <v>114</v>
      </c>
      <c r="K7" s="2">
        <v>43301</v>
      </c>
      <c r="L7" s="3">
        <v>43304</v>
      </c>
      <c r="M7" t="s">
        <v>35</v>
      </c>
      <c r="N7">
        <v>1</v>
      </c>
      <c r="O7">
        <v>0</v>
      </c>
      <c r="P7">
        <v>1</v>
      </c>
      <c r="Q7">
        <v>1</v>
      </c>
      <c r="S7">
        <v>1</v>
      </c>
      <c r="U7">
        <v>5</v>
      </c>
      <c r="V7" s="17">
        <v>0</v>
      </c>
      <c r="W7" s="17" t="s">
        <v>46</v>
      </c>
    </row>
    <row r="8" spans="1:30" x14ac:dyDescent="0.2">
      <c r="A8">
        <v>6</v>
      </c>
      <c r="B8" t="s">
        <v>6</v>
      </c>
      <c r="C8" s="1" t="s">
        <v>26</v>
      </c>
      <c r="D8">
        <v>65</v>
      </c>
      <c r="E8" s="3">
        <v>43418</v>
      </c>
      <c r="F8" s="18">
        <v>30</v>
      </c>
      <c r="G8" s="18">
        <f>L8-E8</f>
        <v>2</v>
      </c>
      <c r="H8" s="6" t="s">
        <v>30</v>
      </c>
      <c r="I8" s="6">
        <v>9</v>
      </c>
      <c r="J8" s="11" t="s">
        <v>115</v>
      </c>
      <c r="K8" s="2">
        <v>43420</v>
      </c>
      <c r="L8" s="3">
        <v>43420</v>
      </c>
      <c r="M8" s="9">
        <v>0.73913043478260865</v>
      </c>
      <c r="O8">
        <v>1</v>
      </c>
      <c r="P8">
        <v>1</v>
      </c>
      <c r="Q8">
        <v>1</v>
      </c>
      <c r="S8">
        <v>1</v>
      </c>
      <c r="U8">
        <v>6</v>
      </c>
      <c r="V8">
        <v>1</v>
      </c>
    </row>
    <row r="9" spans="1:30" x14ac:dyDescent="0.2">
      <c r="A9">
        <v>7</v>
      </c>
      <c r="B9" t="s">
        <v>7</v>
      </c>
      <c r="C9" s="1" t="s">
        <v>26</v>
      </c>
      <c r="D9">
        <v>30</v>
      </c>
      <c r="E9" s="3">
        <v>43417</v>
      </c>
      <c r="F9">
        <v>8</v>
      </c>
      <c r="G9">
        <f>L9-E9</f>
        <v>8</v>
      </c>
      <c r="H9" s="6" t="s">
        <v>30</v>
      </c>
      <c r="I9" s="6">
        <v>4</v>
      </c>
      <c r="J9" s="11" t="s">
        <v>116</v>
      </c>
      <c r="K9" s="2">
        <v>43425</v>
      </c>
      <c r="L9" s="3">
        <v>43425</v>
      </c>
      <c r="M9" s="9">
        <v>0.17391304347826086</v>
      </c>
      <c r="O9">
        <v>0</v>
      </c>
      <c r="P9">
        <v>1</v>
      </c>
      <c r="Q9">
        <v>1</v>
      </c>
      <c r="S9">
        <v>1</v>
      </c>
      <c r="U9">
        <v>7</v>
      </c>
      <c r="V9">
        <v>1</v>
      </c>
    </row>
    <row r="10" spans="1:30" x14ac:dyDescent="0.2">
      <c r="A10">
        <v>8</v>
      </c>
      <c r="B10" t="s">
        <v>8</v>
      </c>
      <c r="C10" s="1" t="s">
        <v>27</v>
      </c>
      <c r="D10">
        <v>79</v>
      </c>
      <c r="E10" s="3">
        <v>43462</v>
      </c>
      <c r="F10">
        <v>20</v>
      </c>
      <c r="G10">
        <f>L10-E10</f>
        <v>20</v>
      </c>
      <c r="H10" s="6" t="s">
        <v>31</v>
      </c>
      <c r="I10" s="6">
        <v>8</v>
      </c>
      <c r="J10" s="20" t="s">
        <v>111</v>
      </c>
      <c r="K10" s="2">
        <v>43482</v>
      </c>
      <c r="L10" s="3">
        <v>43482</v>
      </c>
      <c r="M10" t="s">
        <v>34</v>
      </c>
      <c r="N10">
        <v>1</v>
      </c>
      <c r="O10">
        <v>0</v>
      </c>
      <c r="P10">
        <v>1</v>
      </c>
      <c r="Q10">
        <v>1</v>
      </c>
      <c r="S10">
        <v>1</v>
      </c>
      <c r="U10">
        <v>8</v>
      </c>
      <c r="V10">
        <v>1</v>
      </c>
    </row>
    <row r="11" spans="1:30" x14ac:dyDescent="0.2">
      <c r="A11">
        <v>9</v>
      </c>
      <c r="B11" t="s">
        <v>4</v>
      </c>
      <c r="C11" s="1" t="s">
        <v>27</v>
      </c>
      <c r="D11">
        <v>59</v>
      </c>
      <c r="E11" s="3">
        <v>43562</v>
      </c>
      <c r="F11">
        <v>5</v>
      </c>
      <c r="G11">
        <f>L11-E11</f>
        <v>5</v>
      </c>
      <c r="H11" s="6" t="s">
        <v>30</v>
      </c>
      <c r="I11" s="6">
        <v>8</v>
      </c>
      <c r="J11" s="20" t="s">
        <v>113</v>
      </c>
      <c r="K11" s="2">
        <v>43567</v>
      </c>
      <c r="L11" s="3">
        <v>43567</v>
      </c>
      <c r="M11" s="9">
        <v>0.21739130434782608</v>
      </c>
      <c r="O11">
        <v>0</v>
      </c>
      <c r="P11">
        <v>1</v>
      </c>
      <c r="Q11" s="17">
        <v>0</v>
      </c>
      <c r="R11" s="17" t="s">
        <v>81</v>
      </c>
      <c r="S11">
        <v>1</v>
      </c>
      <c r="U11">
        <v>9</v>
      </c>
      <c r="V11">
        <v>1</v>
      </c>
    </row>
    <row r="12" spans="1:30" x14ac:dyDescent="0.2">
      <c r="A12">
        <v>10</v>
      </c>
      <c r="B12" t="s">
        <v>9</v>
      </c>
      <c r="C12" s="1" t="s">
        <v>27</v>
      </c>
      <c r="D12">
        <v>59</v>
      </c>
      <c r="E12" s="3">
        <v>43558</v>
      </c>
      <c r="F12">
        <v>23</v>
      </c>
      <c r="G12">
        <f>L12-E12</f>
        <v>23</v>
      </c>
      <c r="H12" s="6" t="s">
        <v>30</v>
      </c>
      <c r="I12" s="6">
        <v>3</v>
      </c>
      <c r="J12" s="6" t="s">
        <v>112</v>
      </c>
      <c r="K12" s="2">
        <v>43581</v>
      </c>
      <c r="L12" s="3">
        <v>43581</v>
      </c>
      <c r="M12" t="s">
        <v>34</v>
      </c>
      <c r="N12">
        <v>1</v>
      </c>
      <c r="O12">
        <v>0</v>
      </c>
      <c r="P12">
        <v>1</v>
      </c>
      <c r="Q12" s="17">
        <v>0</v>
      </c>
      <c r="R12" s="17" t="s">
        <v>81</v>
      </c>
      <c r="S12">
        <v>1</v>
      </c>
      <c r="U12">
        <v>10</v>
      </c>
      <c r="V12" s="17">
        <v>0</v>
      </c>
      <c r="W12" s="17" t="s">
        <v>46</v>
      </c>
    </row>
    <row r="13" spans="1:30" x14ac:dyDescent="0.2">
      <c r="A13">
        <v>11</v>
      </c>
      <c r="B13" t="s">
        <v>15</v>
      </c>
      <c r="C13" s="1" t="s">
        <v>27</v>
      </c>
      <c r="D13">
        <v>23</v>
      </c>
      <c r="E13" s="3">
        <v>43589</v>
      </c>
      <c r="F13">
        <v>11</v>
      </c>
      <c r="G13">
        <f>L13-E13</f>
        <v>11</v>
      </c>
      <c r="H13" s="6" t="s">
        <v>31</v>
      </c>
      <c r="I13" s="6">
        <v>7</v>
      </c>
      <c r="J13" s="6" t="s">
        <v>119</v>
      </c>
      <c r="K13" s="2">
        <v>43600</v>
      </c>
      <c r="L13" s="3">
        <v>43600</v>
      </c>
      <c r="M13" s="10" t="s">
        <v>36</v>
      </c>
      <c r="O13">
        <v>1</v>
      </c>
      <c r="P13">
        <v>1</v>
      </c>
      <c r="Q13" s="17">
        <v>0</v>
      </c>
      <c r="R13" s="17" t="s">
        <v>81</v>
      </c>
      <c r="S13">
        <v>1</v>
      </c>
      <c r="U13">
        <v>11</v>
      </c>
      <c r="V13">
        <v>1</v>
      </c>
      <c r="AD13" t="s">
        <v>85</v>
      </c>
    </row>
    <row r="14" spans="1:30" x14ac:dyDescent="0.2">
      <c r="A14">
        <v>12</v>
      </c>
      <c r="B14" t="s">
        <v>14</v>
      </c>
      <c r="C14" s="1" t="s">
        <v>27</v>
      </c>
      <c r="D14">
        <v>45</v>
      </c>
      <c r="E14" s="3">
        <v>43582</v>
      </c>
      <c r="F14">
        <v>27</v>
      </c>
      <c r="G14">
        <f>L14-E14</f>
        <v>27</v>
      </c>
      <c r="H14" s="6" t="s">
        <v>30</v>
      </c>
      <c r="I14" s="6">
        <v>9</v>
      </c>
      <c r="J14" s="6" t="s">
        <v>116</v>
      </c>
      <c r="K14" s="2">
        <v>43609</v>
      </c>
      <c r="L14" s="3">
        <v>43609</v>
      </c>
      <c r="M14" s="10" t="s">
        <v>37</v>
      </c>
      <c r="O14">
        <v>1</v>
      </c>
      <c r="P14">
        <v>1</v>
      </c>
      <c r="Q14">
        <v>1</v>
      </c>
      <c r="S14">
        <v>1</v>
      </c>
      <c r="U14">
        <v>12</v>
      </c>
      <c r="V14" s="17">
        <v>0</v>
      </c>
      <c r="W14" s="17" t="s">
        <v>46</v>
      </c>
    </row>
    <row r="15" spans="1:30" ht="17" x14ac:dyDescent="0.2">
      <c r="A15">
        <v>13</v>
      </c>
      <c r="B15" t="s">
        <v>13</v>
      </c>
      <c r="C15" s="1" t="s">
        <v>26</v>
      </c>
      <c r="D15">
        <v>22</v>
      </c>
      <c r="E15" s="3">
        <v>43765</v>
      </c>
      <c r="F15">
        <v>8</v>
      </c>
      <c r="G15">
        <f>L15-E15</f>
        <v>8</v>
      </c>
      <c r="H15" s="7" t="s">
        <v>32</v>
      </c>
      <c r="I15" s="7">
        <v>9</v>
      </c>
      <c r="J15" s="7" t="s">
        <v>116</v>
      </c>
      <c r="K15" s="2">
        <v>43773</v>
      </c>
      <c r="L15" s="3">
        <v>43773</v>
      </c>
      <c r="M15" s="10" t="s">
        <v>36</v>
      </c>
      <c r="O15">
        <v>1</v>
      </c>
      <c r="P15">
        <v>1</v>
      </c>
      <c r="Q15">
        <v>1</v>
      </c>
      <c r="S15">
        <v>1</v>
      </c>
      <c r="U15">
        <v>13</v>
      </c>
      <c r="V15">
        <v>1</v>
      </c>
      <c r="AD15" t="s">
        <v>86</v>
      </c>
    </row>
    <row r="16" spans="1:30" x14ac:dyDescent="0.2">
      <c r="A16">
        <v>14</v>
      </c>
      <c r="B16" t="s">
        <v>12</v>
      </c>
      <c r="C16" s="1" t="s">
        <v>27</v>
      </c>
      <c r="D16">
        <v>23</v>
      </c>
      <c r="E16" s="3">
        <v>43779</v>
      </c>
      <c r="F16">
        <v>10</v>
      </c>
      <c r="G16">
        <f>L16-E16</f>
        <v>10</v>
      </c>
      <c r="H16" s="6" t="s">
        <v>30</v>
      </c>
      <c r="I16" s="6">
        <v>6</v>
      </c>
      <c r="J16" s="20" t="s">
        <v>116</v>
      </c>
      <c r="K16" s="2">
        <v>43789</v>
      </c>
      <c r="L16" s="3">
        <v>43789</v>
      </c>
      <c r="M16" s="9">
        <v>0.91304347826086951</v>
      </c>
      <c r="O16">
        <v>1</v>
      </c>
      <c r="P16">
        <v>1</v>
      </c>
      <c r="Q16">
        <v>1</v>
      </c>
      <c r="S16">
        <v>1</v>
      </c>
      <c r="U16">
        <v>14</v>
      </c>
      <c r="V16">
        <v>1</v>
      </c>
      <c r="AD16" t="s">
        <v>87</v>
      </c>
    </row>
    <row r="17" spans="1:30" x14ac:dyDescent="0.2">
      <c r="A17">
        <v>15</v>
      </c>
      <c r="B17" t="s">
        <v>11</v>
      </c>
      <c r="C17" s="1" t="s">
        <v>26</v>
      </c>
      <c r="D17">
        <v>19</v>
      </c>
      <c r="E17" s="3">
        <v>43945</v>
      </c>
      <c r="F17">
        <v>26</v>
      </c>
      <c r="G17">
        <f>L17-E17</f>
        <v>26</v>
      </c>
      <c r="H17" s="6" t="s">
        <v>31</v>
      </c>
      <c r="I17" s="6">
        <v>9</v>
      </c>
      <c r="J17" s="6" t="s">
        <v>116</v>
      </c>
      <c r="K17" s="2">
        <v>43971</v>
      </c>
      <c r="L17" s="3">
        <v>43971</v>
      </c>
      <c r="M17" s="9">
        <v>0.73913043478260865</v>
      </c>
      <c r="O17">
        <v>1</v>
      </c>
      <c r="P17">
        <v>1</v>
      </c>
      <c r="Q17">
        <v>1</v>
      </c>
      <c r="S17">
        <v>1</v>
      </c>
      <c r="U17">
        <v>15</v>
      </c>
      <c r="V17" s="17">
        <v>0</v>
      </c>
      <c r="W17" s="17" t="s">
        <v>77</v>
      </c>
      <c r="AD17" t="s">
        <v>88</v>
      </c>
    </row>
    <row r="18" spans="1:30" x14ac:dyDescent="0.2">
      <c r="A18">
        <v>16</v>
      </c>
      <c r="B18" t="s">
        <v>10</v>
      </c>
      <c r="C18" s="1" t="s">
        <v>27</v>
      </c>
      <c r="D18">
        <v>32</v>
      </c>
      <c r="E18" s="3">
        <v>43982</v>
      </c>
      <c r="F18">
        <v>17</v>
      </c>
      <c r="G18">
        <f>L18-E18</f>
        <v>17</v>
      </c>
      <c r="H18" s="6" t="s">
        <v>31</v>
      </c>
      <c r="I18" s="6">
        <v>8</v>
      </c>
      <c r="J18" s="19"/>
      <c r="K18" s="2">
        <v>43999</v>
      </c>
      <c r="L18" s="3">
        <v>43999</v>
      </c>
      <c r="M18" s="8">
        <v>0.39130434782608697</v>
      </c>
      <c r="O18">
        <v>0</v>
      </c>
      <c r="P18">
        <v>1</v>
      </c>
      <c r="Q18">
        <v>1</v>
      </c>
      <c r="S18">
        <v>1</v>
      </c>
      <c r="U18">
        <v>16</v>
      </c>
      <c r="V18">
        <v>1</v>
      </c>
      <c r="AD18" t="s">
        <v>89</v>
      </c>
    </row>
    <row r="19" spans="1:30" x14ac:dyDescent="0.2">
      <c r="A19">
        <v>17</v>
      </c>
      <c r="B19" t="s">
        <v>82</v>
      </c>
      <c r="C19" s="1" t="s">
        <v>27</v>
      </c>
      <c r="D19">
        <v>57</v>
      </c>
      <c r="E19" s="3">
        <v>43994</v>
      </c>
      <c r="F19">
        <v>12</v>
      </c>
      <c r="G19">
        <f>L19-E19</f>
        <v>12</v>
      </c>
      <c r="H19" s="6" t="s">
        <v>32</v>
      </c>
      <c r="I19" s="6">
        <v>9</v>
      </c>
      <c r="J19" s="11" t="s">
        <v>111</v>
      </c>
      <c r="K19" s="3">
        <v>44006</v>
      </c>
      <c r="L19" s="3">
        <v>44006</v>
      </c>
      <c r="M19">
        <v>2</v>
      </c>
      <c r="O19">
        <v>0</v>
      </c>
      <c r="P19">
        <v>1</v>
      </c>
      <c r="Q19">
        <v>1</v>
      </c>
      <c r="S19" s="18">
        <v>1</v>
      </c>
      <c r="T19" s="18"/>
      <c r="U19" s="18"/>
      <c r="V19" s="17">
        <v>0</v>
      </c>
      <c r="W19" s="17" t="s">
        <v>84</v>
      </c>
    </row>
    <row r="20" spans="1:30" x14ac:dyDescent="0.2">
      <c r="A20">
        <v>18</v>
      </c>
      <c r="B20" t="s">
        <v>16</v>
      </c>
      <c r="C20" s="1" t="s">
        <v>26</v>
      </c>
      <c r="D20">
        <v>20</v>
      </c>
      <c r="E20" s="3">
        <v>44018</v>
      </c>
      <c r="F20">
        <v>16</v>
      </c>
      <c r="G20">
        <f>L20-E20</f>
        <v>16</v>
      </c>
      <c r="H20" s="6" t="s">
        <v>31</v>
      </c>
      <c r="I20" s="6">
        <v>7</v>
      </c>
      <c r="J20" s="19"/>
      <c r="K20" s="2">
        <v>44034</v>
      </c>
      <c r="L20" s="3">
        <v>44034</v>
      </c>
      <c r="M20" s="9">
        <v>0.52173913043478259</v>
      </c>
      <c r="O20">
        <v>1</v>
      </c>
      <c r="P20">
        <v>1</v>
      </c>
      <c r="Q20">
        <v>1</v>
      </c>
      <c r="S20">
        <v>1</v>
      </c>
      <c r="U20">
        <v>17</v>
      </c>
      <c r="V20" s="17">
        <v>0</v>
      </c>
      <c r="W20" s="17" t="s">
        <v>78</v>
      </c>
      <c r="AD20" t="s">
        <v>90</v>
      </c>
    </row>
    <row r="21" spans="1:30" x14ac:dyDescent="0.2">
      <c r="A21">
        <v>20</v>
      </c>
      <c r="B21" t="s">
        <v>17</v>
      </c>
      <c r="C21" s="1" t="s">
        <v>27</v>
      </c>
      <c r="D21">
        <v>69</v>
      </c>
      <c r="E21" s="3">
        <v>44257</v>
      </c>
      <c r="F21" s="18">
        <v>16</v>
      </c>
      <c r="G21" s="18">
        <f>L21-E21</f>
        <v>20</v>
      </c>
      <c r="H21" s="5" t="s">
        <v>31</v>
      </c>
      <c r="I21" s="5">
        <v>6</v>
      </c>
      <c r="J21" s="11" t="s">
        <v>112</v>
      </c>
      <c r="K21" s="2">
        <v>44273</v>
      </c>
      <c r="L21" s="21">
        <v>44277</v>
      </c>
      <c r="M21" s="9">
        <v>0.17391304347826086</v>
      </c>
      <c r="O21">
        <v>0</v>
      </c>
      <c r="P21">
        <v>1</v>
      </c>
      <c r="Q21">
        <v>1</v>
      </c>
      <c r="S21">
        <v>1</v>
      </c>
      <c r="U21">
        <v>18</v>
      </c>
      <c r="V21">
        <v>1</v>
      </c>
      <c r="AD21" t="s">
        <v>92</v>
      </c>
    </row>
    <row r="22" spans="1:30" x14ac:dyDescent="0.2">
      <c r="A22">
        <v>21</v>
      </c>
      <c r="B22" t="s">
        <v>18</v>
      </c>
      <c r="C22" s="1" t="s">
        <v>27</v>
      </c>
      <c r="D22">
        <v>52</v>
      </c>
      <c r="E22" s="3">
        <v>44276</v>
      </c>
      <c r="F22">
        <v>8</v>
      </c>
      <c r="G22">
        <f>L22-E22</f>
        <v>8</v>
      </c>
      <c r="H22" s="5" t="s">
        <v>30</v>
      </c>
      <c r="I22" s="5">
        <v>9</v>
      </c>
      <c r="J22" s="11" t="s">
        <v>112</v>
      </c>
      <c r="K22" s="2">
        <v>44284</v>
      </c>
      <c r="L22" s="3">
        <v>44284</v>
      </c>
      <c r="M22" s="9">
        <v>0.13043478260869565</v>
      </c>
      <c r="O22">
        <v>0</v>
      </c>
      <c r="P22">
        <v>1</v>
      </c>
      <c r="Q22">
        <v>1</v>
      </c>
      <c r="S22">
        <v>1</v>
      </c>
      <c r="U22">
        <v>19</v>
      </c>
      <c r="V22" s="17">
        <v>0</v>
      </c>
      <c r="W22" s="17" t="s">
        <v>46</v>
      </c>
      <c r="AD22" t="s">
        <v>91</v>
      </c>
    </row>
    <row r="23" spans="1:30" x14ac:dyDescent="0.2">
      <c r="A23">
        <v>22</v>
      </c>
      <c r="B23" t="s">
        <v>19</v>
      </c>
      <c r="C23" s="1" t="s">
        <v>27</v>
      </c>
      <c r="D23">
        <v>21</v>
      </c>
      <c r="E23" s="3">
        <v>44358</v>
      </c>
      <c r="F23">
        <v>5</v>
      </c>
      <c r="G23" s="18" t="e">
        <f>L23-E23</f>
        <v>#VALUE!</v>
      </c>
      <c r="H23" s="6" t="s">
        <v>31</v>
      </c>
      <c r="I23" s="6">
        <v>7</v>
      </c>
      <c r="J23" s="11" t="s">
        <v>112</v>
      </c>
      <c r="K23" s="2">
        <v>44364</v>
      </c>
      <c r="L23" s="1" t="s">
        <v>120</v>
      </c>
      <c r="M23" s="10" t="s">
        <v>36</v>
      </c>
      <c r="O23">
        <v>1</v>
      </c>
      <c r="P23">
        <v>1</v>
      </c>
      <c r="Q23">
        <v>1</v>
      </c>
      <c r="S23">
        <v>1</v>
      </c>
      <c r="U23">
        <v>20</v>
      </c>
      <c r="V23">
        <v>1</v>
      </c>
    </row>
    <row r="24" spans="1:30" x14ac:dyDescent="0.2">
      <c r="A24">
        <v>23</v>
      </c>
      <c r="B24" t="s">
        <v>20</v>
      </c>
      <c r="C24" s="1" t="s">
        <v>26</v>
      </c>
      <c r="D24">
        <v>21</v>
      </c>
      <c r="E24" s="3">
        <v>44356</v>
      </c>
      <c r="F24">
        <v>16</v>
      </c>
      <c r="G24">
        <f>L24-E24</f>
        <v>16</v>
      </c>
      <c r="H24" s="6" t="s">
        <v>31</v>
      </c>
      <c r="I24" s="6">
        <v>5</v>
      </c>
      <c r="J24" s="11" t="s">
        <v>118</v>
      </c>
      <c r="K24" s="2">
        <v>44372</v>
      </c>
      <c r="L24" s="3">
        <v>44372</v>
      </c>
      <c r="M24" s="10" t="s">
        <v>36</v>
      </c>
      <c r="O24">
        <v>1</v>
      </c>
      <c r="P24">
        <v>1</v>
      </c>
      <c r="Q24">
        <v>1</v>
      </c>
      <c r="S24">
        <v>1</v>
      </c>
      <c r="U24">
        <v>21</v>
      </c>
      <c r="V24">
        <v>1</v>
      </c>
    </row>
    <row r="25" spans="1:30" x14ac:dyDescent="0.2">
      <c r="A25">
        <v>24</v>
      </c>
      <c r="B25" t="s">
        <v>21</v>
      </c>
      <c r="C25" s="1" t="s">
        <v>27</v>
      </c>
      <c r="D25">
        <v>36</v>
      </c>
      <c r="E25" s="3">
        <v>44445</v>
      </c>
      <c r="F25">
        <v>10</v>
      </c>
      <c r="G25">
        <f>L25-E25</f>
        <v>11</v>
      </c>
      <c r="H25" s="6" t="s">
        <v>31</v>
      </c>
      <c r="I25" s="6">
        <v>8</v>
      </c>
      <c r="J25" s="20" t="s">
        <v>111</v>
      </c>
      <c r="K25" s="2">
        <v>44455</v>
      </c>
      <c r="L25" s="3">
        <v>44456</v>
      </c>
      <c r="M25" s="10" t="s">
        <v>36</v>
      </c>
      <c r="O25">
        <v>1</v>
      </c>
      <c r="P25">
        <v>1</v>
      </c>
      <c r="Q25">
        <v>1</v>
      </c>
      <c r="S25">
        <v>1</v>
      </c>
      <c r="U25">
        <v>22</v>
      </c>
      <c r="V25">
        <v>1</v>
      </c>
    </row>
    <row r="26" spans="1:30" x14ac:dyDescent="0.2">
      <c r="A26">
        <v>25</v>
      </c>
      <c r="B26" t="s">
        <v>22</v>
      </c>
      <c r="C26" s="1" t="s">
        <v>27</v>
      </c>
      <c r="D26">
        <v>40</v>
      </c>
      <c r="E26" s="3">
        <v>44467</v>
      </c>
      <c r="F26" s="18">
        <v>11</v>
      </c>
      <c r="G26" s="18" t="e">
        <f>L26-E26</f>
        <v>#VALUE!</v>
      </c>
      <c r="H26" s="6" t="s">
        <v>31</v>
      </c>
      <c r="I26" s="6">
        <v>3</v>
      </c>
      <c r="J26" s="6" t="s">
        <v>112</v>
      </c>
      <c r="K26" s="4">
        <v>44446</v>
      </c>
      <c r="L26" t="s">
        <v>121</v>
      </c>
      <c r="M26" s="10" t="s">
        <v>36</v>
      </c>
      <c r="O26">
        <v>1</v>
      </c>
      <c r="P26">
        <v>1</v>
      </c>
      <c r="Q26">
        <v>1</v>
      </c>
      <c r="S26">
        <v>1</v>
      </c>
      <c r="U26">
        <v>23</v>
      </c>
      <c r="V26">
        <v>1</v>
      </c>
    </row>
    <row r="27" spans="1:30" x14ac:dyDescent="0.2">
      <c r="A27">
        <v>26</v>
      </c>
      <c r="B27" t="s">
        <v>23</v>
      </c>
      <c r="C27" s="1" t="s">
        <v>27</v>
      </c>
      <c r="D27">
        <v>70</v>
      </c>
      <c r="E27" s="3">
        <v>44485</v>
      </c>
      <c r="F27" s="18">
        <v>6</v>
      </c>
      <c r="G27" s="18">
        <f>L27-E27</f>
        <v>5</v>
      </c>
      <c r="H27" s="6" t="s">
        <v>31</v>
      </c>
      <c r="I27" s="6">
        <v>5</v>
      </c>
      <c r="J27" s="6" t="s">
        <v>117</v>
      </c>
      <c r="K27" s="2">
        <v>44489</v>
      </c>
      <c r="L27" s="3">
        <v>44490</v>
      </c>
      <c r="M27" s="10" t="s">
        <v>37</v>
      </c>
      <c r="O27">
        <v>1</v>
      </c>
      <c r="P27">
        <v>1</v>
      </c>
      <c r="Q27">
        <v>1</v>
      </c>
      <c r="S27">
        <v>1</v>
      </c>
      <c r="U27">
        <v>24</v>
      </c>
      <c r="V27">
        <v>1</v>
      </c>
    </row>
    <row r="30" spans="1:30" x14ac:dyDescent="0.2">
      <c r="O30" t="s">
        <v>41</v>
      </c>
    </row>
    <row r="31" spans="1:30" x14ac:dyDescent="0.2">
      <c r="O31" t="s">
        <v>42</v>
      </c>
    </row>
  </sheetData>
  <autoFilter ref="H1:H31" xr:uid="{9D422593-CA5B-5E45-B8BC-6E46B75F306F}"/>
  <sortState xmlns:xlrd2="http://schemas.microsoft.com/office/spreadsheetml/2017/richdata2" ref="A3:O29">
    <sortCondition ref="A3:A29"/>
  </sortState>
  <mergeCells count="5">
    <mergeCell ref="C1:O1"/>
    <mergeCell ref="A1:B1"/>
    <mergeCell ref="P1:R1"/>
    <mergeCell ref="S1:U1"/>
    <mergeCell ref="V1:W1"/>
  </mergeCells>
  <pageMargins left="0.7" right="0.7" top="0.75" bottom="0.75" header="0.3" footer="0.3"/>
  <pageSetup paperSize="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2DF6-A1BB-4445-B970-F5DA6D848A63}">
  <sheetPr codeName="Feuil2"/>
  <dimension ref="A1:U26"/>
  <sheetViews>
    <sheetView workbookViewId="0">
      <selection activeCell="U20" sqref="U20"/>
    </sheetView>
  </sheetViews>
  <sheetFormatPr baseColWidth="10" defaultRowHeight="16" x14ac:dyDescent="0.2"/>
  <cols>
    <col min="3" max="7" width="10.83203125" customWidth="1"/>
    <col min="8" max="9" width="12.83203125" customWidth="1"/>
    <col min="10" max="10" width="21.6640625" bestFit="1" customWidth="1"/>
    <col min="13" max="13" width="13.6640625" bestFit="1" customWidth="1"/>
    <col min="15" max="15" width="13.6640625" bestFit="1" customWidth="1"/>
    <col min="21" max="21" width="53.5" bestFit="1" customWidth="1"/>
  </cols>
  <sheetData>
    <row r="1" spans="1:21" x14ac:dyDescent="0.2">
      <c r="A1" s="22" t="s">
        <v>107</v>
      </c>
      <c r="B1" s="22"/>
      <c r="C1" s="22"/>
      <c r="D1" s="22"/>
      <c r="E1" s="22"/>
      <c r="F1" s="22"/>
      <c r="G1" s="22"/>
      <c r="H1" s="22"/>
      <c r="I1" s="22"/>
      <c r="J1" s="22"/>
      <c r="K1" s="24" t="s">
        <v>71</v>
      </c>
      <c r="L1" s="24"/>
      <c r="M1" s="24"/>
      <c r="N1" s="25" t="s">
        <v>79</v>
      </c>
      <c r="O1" s="25"/>
      <c r="P1" s="25"/>
      <c r="Q1" s="26" t="s">
        <v>80</v>
      </c>
      <c r="R1" s="26"/>
    </row>
    <row r="2" spans="1:21" x14ac:dyDescent="0.2">
      <c r="A2" t="s">
        <v>0</v>
      </c>
      <c r="B2" t="s">
        <v>24</v>
      </c>
      <c r="C2" t="s">
        <v>25</v>
      </c>
      <c r="D2" t="s">
        <v>65</v>
      </c>
      <c r="E2" t="s">
        <v>28</v>
      </c>
      <c r="F2" t="s">
        <v>33</v>
      </c>
      <c r="G2" t="s">
        <v>43</v>
      </c>
      <c r="H2" t="s">
        <v>66</v>
      </c>
      <c r="I2" t="s">
        <v>108</v>
      </c>
      <c r="J2" t="s">
        <v>105</v>
      </c>
      <c r="K2" t="s">
        <v>72</v>
      </c>
      <c r="L2" t="s">
        <v>69</v>
      </c>
      <c r="M2" t="s">
        <v>70</v>
      </c>
      <c r="N2" t="s">
        <v>39</v>
      </c>
      <c r="O2" t="s">
        <v>74</v>
      </c>
      <c r="P2" t="s">
        <v>73</v>
      </c>
      <c r="Q2" t="s">
        <v>75</v>
      </c>
      <c r="R2" t="s">
        <v>76</v>
      </c>
    </row>
    <row r="3" spans="1:21" x14ac:dyDescent="0.2">
      <c r="A3">
        <v>1</v>
      </c>
      <c r="B3" t="s">
        <v>47</v>
      </c>
      <c r="C3" t="s">
        <v>26</v>
      </c>
      <c r="D3" s="15">
        <v>19129</v>
      </c>
      <c r="E3">
        <v>67</v>
      </c>
      <c r="F3" t="s">
        <v>61</v>
      </c>
      <c r="G3" s="12" t="s">
        <v>44</v>
      </c>
      <c r="H3" s="15">
        <v>43607</v>
      </c>
      <c r="I3">
        <v>52</v>
      </c>
      <c r="J3">
        <v>197949996</v>
      </c>
      <c r="K3">
        <v>1</v>
      </c>
      <c r="L3" s="17">
        <v>0</v>
      </c>
      <c r="M3" s="17" t="s">
        <v>81</v>
      </c>
      <c r="N3">
        <v>1</v>
      </c>
      <c r="P3">
        <v>25</v>
      </c>
      <c r="Q3">
        <v>1</v>
      </c>
    </row>
    <row r="4" spans="1:21" x14ac:dyDescent="0.2">
      <c r="A4">
        <v>2</v>
      </c>
      <c r="B4" t="s">
        <v>48</v>
      </c>
      <c r="C4" t="s">
        <v>26</v>
      </c>
      <c r="D4" s="15">
        <v>28463</v>
      </c>
      <c r="E4">
        <v>41</v>
      </c>
      <c r="F4" t="s">
        <v>61</v>
      </c>
      <c r="G4" s="14" t="s">
        <v>45</v>
      </c>
      <c r="H4" s="15">
        <v>43607</v>
      </c>
      <c r="I4">
        <v>70</v>
      </c>
      <c r="J4">
        <v>215339996</v>
      </c>
      <c r="K4">
        <v>1</v>
      </c>
      <c r="L4" s="17">
        <v>0</v>
      </c>
      <c r="M4" s="17" t="s">
        <v>81</v>
      </c>
      <c r="N4">
        <v>1</v>
      </c>
      <c r="P4">
        <v>26</v>
      </c>
      <c r="Q4">
        <v>1</v>
      </c>
    </row>
    <row r="5" spans="1:21" x14ac:dyDescent="0.2">
      <c r="A5">
        <v>3</v>
      </c>
      <c r="B5" t="s">
        <v>49</v>
      </c>
      <c r="C5" t="s">
        <v>64</v>
      </c>
      <c r="D5" s="15">
        <v>21435</v>
      </c>
      <c r="E5">
        <v>60</v>
      </c>
      <c r="F5" t="s">
        <v>61</v>
      </c>
      <c r="G5" s="14" t="s">
        <v>45</v>
      </c>
      <c r="H5" s="15">
        <v>43647</v>
      </c>
      <c r="I5">
        <v>65</v>
      </c>
      <c r="J5">
        <v>218300003</v>
      </c>
      <c r="K5">
        <v>1</v>
      </c>
      <c r="L5">
        <v>1</v>
      </c>
      <c r="N5">
        <v>1</v>
      </c>
      <c r="P5">
        <v>27</v>
      </c>
      <c r="Q5">
        <v>1</v>
      </c>
    </row>
    <row r="6" spans="1:21" x14ac:dyDescent="0.2">
      <c r="A6">
        <v>4</v>
      </c>
      <c r="B6" t="s">
        <v>50</v>
      </c>
      <c r="C6" t="s">
        <v>26</v>
      </c>
      <c r="D6" s="15">
        <v>21228</v>
      </c>
      <c r="E6">
        <v>61</v>
      </c>
      <c r="F6" t="s">
        <v>61</v>
      </c>
      <c r="G6" s="14" t="s">
        <v>45</v>
      </c>
      <c r="H6" s="15">
        <v>43647</v>
      </c>
      <c r="I6">
        <v>56</v>
      </c>
      <c r="J6">
        <v>159100006</v>
      </c>
      <c r="K6">
        <v>1</v>
      </c>
      <c r="L6">
        <v>1</v>
      </c>
      <c r="N6">
        <v>1</v>
      </c>
      <c r="P6">
        <v>28</v>
      </c>
      <c r="Q6">
        <v>1</v>
      </c>
    </row>
    <row r="7" spans="1:21" x14ac:dyDescent="0.2">
      <c r="A7">
        <v>5</v>
      </c>
      <c r="B7" t="s">
        <v>51</v>
      </c>
      <c r="C7" t="s">
        <v>26</v>
      </c>
      <c r="D7" s="15">
        <v>34890</v>
      </c>
      <c r="E7">
        <v>20</v>
      </c>
      <c r="F7" t="s">
        <v>61</v>
      </c>
      <c r="G7" s="12" t="s">
        <v>44</v>
      </c>
      <c r="H7" s="15">
        <v>43647</v>
      </c>
      <c r="I7">
        <v>66</v>
      </c>
      <c r="J7">
        <v>252710006</v>
      </c>
      <c r="K7">
        <v>1</v>
      </c>
      <c r="L7">
        <v>1</v>
      </c>
      <c r="N7">
        <v>1</v>
      </c>
      <c r="P7">
        <v>29</v>
      </c>
      <c r="Q7">
        <v>1</v>
      </c>
    </row>
    <row r="8" spans="1:21" x14ac:dyDescent="0.2">
      <c r="A8">
        <v>6</v>
      </c>
      <c r="B8" t="s">
        <v>52</v>
      </c>
      <c r="C8" t="s">
        <v>64</v>
      </c>
      <c r="D8" s="15">
        <v>23381</v>
      </c>
      <c r="E8">
        <v>55</v>
      </c>
      <c r="F8" t="s">
        <v>61</v>
      </c>
      <c r="G8" s="12" t="s">
        <v>44</v>
      </c>
      <c r="H8" s="15">
        <v>43647</v>
      </c>
      <c r="I8">
        <v>90</v>
      </c>
      <c r="J8">
        <v>256225006</v>
      </c>
      <c r="K8">
        <v>1</v>
      </c>
      <c r="L8">
        <v>1</v>
      </c>
      <c r="N8">
        <v>1</v>
      </c>
      <c r="P8">
        <v>30</v>
      </c>
      <c r="Q8" s="17">
        <v>0</v>
      </c>
      <c r="R8" s="17" t="s">
        <v>103</v>
      </c>
    </row>
    <row r="9" spans="1:21" x14ac:dyDescent="0.2">
      <c r="A9">
        <v>7</v>
      </c>
      <c r="B9" t="s">
        <v>53</v>
      </c>
      <c r="C9" t="s">
        <v>26</v>
      </c>
      <c r="D9" s="16">
        <v>35901</v>
      </c>
      <c r="E9">
        <v>22</v>
      </c>
      <c r="F9" t="s">
        <v>61</v>
      </c>
      <c r="G9" s="12" t="s">
        <v>44</v>
      </c>
      <c r="H9" s="15">
        <v>44085</v>
      </c>
      <c r="I9">
        <v>52</v>
      </c>
      <c r="J9">
        <v>163539993</v>
      </c>
      <c r="K9">
        <v>1</v>
      </c>
      <c r="L9">
        <v>1</v>
      </c>
      <c r="N9">
        <v>1</v>
      </c>
      <c r="P9">
        <v>31</v>
      </c>
      <c r="Q9">
        <v>1</v>
      </c>
    </row>
    <row r="10" spans="1:21" x14ac:dyDescent="0.2">
      <c r="A10">
        <v>8</v>
      </c>
      <c r="B10" t="s">
        <v>9</v>
      </c>
      <c r="C10" t="s">
        <v>64</v>
      </c>
      <c r="D10" s="15">
        <v>32097</v>
      </c>
      <c r="E10">
        <v>32</v>
      </c>
      <c r="F10" t="s">
        <v>61</v>
      </c>
      <c r="G10" s="14" t="s">
        <v>45</v>
      </c>
      <c r="H10" s="15">
        <v>44085</v>
      </c>
      <c r="I10">
        <v>61</v>
      </c>
      <c r="J10">
        <v>228000000</v>
      </c>
      <c r="K10">
        <v>1</v>
      </c>
      <c r="L10">
        <v>1</v>
      </c>
      <c r="N10">
        <v>1</v>
      </c>
      <c r="P10">
        <v>32</v>
      </c>
      <c r="Q10">
        <v>1</v>
      </c>
    </row>
    <row r="11" spans="1:21" x14ac:dyDescent="0.2">
      <c r="A11">
        <v>9</v>
      </c>
      <c r="B11" t="s">
        <v>54</v>
      </c>
      <c r="C11" t="s">
        <v>64</v>
      </c>
      <c r="D11" s="15">
        <v>35484</v>
      </c>
      <c r="E11">
        <v>23</v>
      </c>
      <c r="F11" t="s">
        <v>61</v>
      </c>
      <c r="G11" s="14" t="s">
        <v>45</v>
      </c>
      <c r="H11" s="15">
        <v>44116</v>
      </c>
      <c r="I11">
        <v>93</v>
      </c>
      <c r="J11">
        <v>335670000</v>
      </c>
      <c r="K11">
        <v>1</v>
      </c>
      <c r="L11">
        <v>1</v>
      </c>
      <c r="N11">
        <v>1</v>
      </c>
      <c r="P11">
        <v>33</v>
      </c>
      <c r="Q11">
        <v>1</v>
      </c>
      <c r="U11" t="s">
        <v>93</v>
      </c>
    </row>
    <row r="12" spans="1:21" x14ac:dyDescent="0.2">
      <c r="A12">
        <v>10</v>
      </c>
      <c r="B12" t="s">
        <v>55</v>
      </c>
      <c r="C12" t="s">
        <v>64</v>
      </c>
      <c r="D12" s="15">
        <v>26615</v>
      </c>
      <c r="E12">
        <v>47</v>
      </c>
      <c r="F12" t="s">
        <v>61</v>
      </c>
      <c r="G12" s="13" t="s">
        <v>46</v>
      </c>
      <c r="H12" s="15">
        <v>44120</v>
      </c>
      <c r="I12">
        <v>78</v>
      </c>
      <c r="J12">
        <v>266880000</v>
      </c>
      <c r="K12">
        <v>1</v>
      </c>
      <c r="L12">
        <v>1</v>
      </c>
      <c r="N12">
        <v>1</v>
      </c>
      <c r="P12">
        <v>34</v>
      </c>
      <c r="Q12" s="17">
        <v>0</v>
      </c>
      <c r="R12" s="17" t="s">
        <v>46</v>
      </c>
    </row>
    <row r="13" spans="1:21" x14ac:dyDescent="0.2">
      <c r="A13">
        <v>11</v>
      </c>
      <c r="B13" t="s">
        <v>11</v>
      </c>
      <c r="C13" t="s">
        <v>26</v>
      </c>
      <c r="D13" s="15">
        <v>36616</v>
      </c>
      <c r="E13">
        <v>21</v>
      </c>
      <c r="F13" t="s">
        <v>61</v>
      </c>
      <c r="G13" s="14" t="s">
        <v>45</v>
      </c>
      <c r="H13" s="15">
        <v>44393</v>
      </c>
      <c r="I13">
        <v>58</v>
      </c>
      <c r="J13">
        <v>195679992</v>
      </c>
      <c r="K13">
        <v>1</v>
      </c>
      <c r="L13">
        <v>1</v>
      </c>
      <c r="N13">
        <v>1</v>
      </c>
      <c r="P13">
        <v>35</v>
      </c>
      <c r="Q13">
        <v>1</v>
      </c>
      <c r="U13" t="s">
        <v>94</v>
      </c>
    </row>
    <row r="14" spans="1:21" x14ac:dyDescent="0.2">
      <c r="A14">
        <v>12</v>
      </c>
      <c r="B14" t="s">
        <v>56</v>
      </c>
      <c r="C14" t="s">
        <v>64</v>
      </c>
      <c r="D14" s="15">
        <v>24656</v>
      </c>
      <c r="E14">
        <v>53</v>
      </c>
      <c r="F14" t="s">
        <v>61</v>
      </c>
      <c r="G14" s="14" t="s">
        <v>45</v>
      </c>
      <c r="H14" s="15">
        <v>44393</v>
      </c>
      <c r="I14">
        <v>86</v>
      </c>
      <c r="J14">
        <v>294049987</v>
      </c>
      <c r="K14">
        <v>1</v>
      </c>
      <c r="L14">
        <v>1</v>
      </c>
      <c r="N14">
        <v>1</v>
      </c>
      <c r="P14">
        <v>36</v>
      </c>
      <c r="Q14">
        <v>1</v>
      </c>
      <c r="U14" t="s">
        <v>95</v>
      </c>
    </row>
    <row r="15" spans="1:21" x14ac:dyDescent="0.2">
      <c r="A15">
        <v>13</v>
      </c>
      <c r="B15" t="s">
        <v>57</v>
      </c>
      <c r="C15" t="s">
        <v>26</v>
      </c>
      <c r="D15" s="15">
        <v>36178</v>
      </c>
      <c r="E15">
        <v>21</v>
      </c>
      <c r="F15" t="s">
        <v>61</v>
      </c>
      <c r="G15" s="12" t="s">
        <v>44</v>
      </c>
      <c r="H15" s="15">
        <v>44456</v>
      </c>
      <c r="I15">
        <v>44</v>
      </c>
      <c r="J15">
        <v>137000000</v>
      </c>
      <c r="K15">
        <v>1</v>
      </c>
      <c r="L15">
        <v>1</v>
      </c>
      <c r="N15">
        <v>1</v>
      </c>
      <c r="P15">
        <v>37</v>
      </c>
      <c r="Q15">
        <v>1</v>
      </c>
      <c r="U15" t="s">
        <v>96</v>
      </c>
    </row>
    <row r="16" spans="1:21" x14ac:dyDescent="0.2">
      <c r="A16">
        <v>14</v>
      </c>
      <c r="B16" t="s">
        <v>58</v>
      </c>
      <c r="C16" t="s">
        <v>26</v>
      </c>
      <c r="D16" s="15">
        <v>35113</v>
      </c>
      <c r="E16">
        <v>25</v>
      </c>
      <c r="F16" t="s">
        <v>61</v>
      </c>
      <c r="G16" s="12" t="s">
        <v>44</v>
      </c>
      <c r="H16" s="15">
        <v>44456</v>
      </c>
      <c r="I16">
        <v>64</v>
      </c>
      <c r="J16">
        <v>209000000</v>
      </c>
      <c r="K16">
        <v>1</v>
      </c>
      <c r="L16">
        <v>1</v>
      </c>
      <c r="N16">
        <v>1</v>
      </c>
      <c r="P16">
        <v>38</v>
      </c>
      <c r="Q16">
        <v>1</v>
      </c>
      <c r="U16" t="s">
        <v>104</v>
      </c>
    </row>
    <row r="17" spans="1:21" x14ac:dyDescent="0.2">
      <c r="A17">
        <v>15</v>
      </c>
      <c r="B17" t="s">
        <v>18</v>
      </c>
      <c r="C17" t="s">
        <v>64</v>
      </c>
      <c r="D17" s="15">
        <v>37037</v>
      </c>
      <c r="E17">
        <v>20</v>
      </c>
      <c r="F17" t="s">
        <v>61</v>
      </c>
      <c r="G17" s="14" t="s">
        <v>45</v>
      </c>
      <c r="H17" s="15">
        <v>44456</v>
      </c>
      <c r="I17">
        <v>72</v>
      </c>
      <c r="J17">
        <v>242000000</v>
      </c>
      <c r="K17">
        <v>1</v>
      </c>
      <c r="L17">
        <v>1</v>
      </c>
      <c r="N17">
        <v>1</v>
      </c>
      <c r="P17">
        <v>39</v>
      </c>
      <c r="Q17">
        <v>1</v>
      </c>
    </row>
    <row r="18" spans="1:21" x14ac:dyDescent="0.2">
      <c r="A18">
        <v>16</v>
      </c>
      <c r="B18" t="s">
        <v>59</v>
      </c>
      <c r="C18" t="s">
        <v>64</v>
      </c>
      <c r="D18" s="15">
        <v>35488</v>
      </c>
      <c r="E18">
        <v>22</v>
      </c>
      <c r="F18" t="s">
        <v>61</v>
      </c>
      <c r="G18" s="12" t="s">
        <v>44</v>
      </c>
      <c r="H18" s="15">
        <v>44481</v>
      </c>
      <c r="I18">
        <v>60</v>
      </c>
      <c r="J18">
        <v>206000000</v>
      </c>
      <c r="K18">
        <v>1</v>
      </c>
      <c r="L18">
        <v>1</v>
      </c>
      <c r="N18">
        <v>1</v>
      </c>
      <c r="P18">
        <v>40</v>
      </c>
      <c r="Q18">
        <v>1</v>
      </c>
      <c r="U18" t="s">
        <v>97</v>
      </c>
    </row>
    <row r="19" spans="1:21" x14ac:dyDescent="0.2">
      <c r="A19">
        <v>17</v>
      </c>
      <c r="B19" t="s">
        <v>14</v>
      </c>
      <c r="C19" t="s">
        <v>64</v>
      </c>
      <c r="D19" s="15">
        <v>17082</v>
      </c>
      <c r="E19">
        <v>75</v>
      </c>
      <c r="F19" t="s">
        <v>61</v>
      </c>
      <c r="G19" s="12" t="s">
        <v>44</v>
      </c>
      <c r="H19" s="15">
        <v>44482</v>
      </c>
      <c r="I19">
        <v>62</v>
      </c>
      <c r="J19">
        <v>222000000</v>
      </c>
      <c r="K19">
        <v>1</v>
      </c>
      <c r="L19">
        <v>1</v>
      </c>
      <c r="N19">
        <v>1</v>
      </c>
      <c r="P19">
        <v>41</v>
      </c>
      <c r="Q19">
        <v>1</v>
      </c>
      <c r="U19" t="s">
        <v>98</v>
      </c>
    </row>
    <row r="20" spans="1:21" x14ac:dyDescent="0.2">
      <c r="A20">
        <v>18</v>
      </c>
      <c r="B20" t="s">
        <v>60</v>
      </c>
      <c r="C20" t="s">
        <v>64</v>
      </c>
      <c r="D20" s="15">
        <v>32047</v>
      </c>
      <c r="E20">
        <v>34</v>
      </c>
      <c r="F20" t="s">
        <v>61</v>
      </c>
      <c r="G20" s="14" t="s">
        <v>45</v>
      </c>
      <c r="H20" s="15">
        <v>44482</v>
      </c>
      <c r="I20">
        <v>80</v>
      </c>
      <c r="J20">
        <v>281000000</v>
      </c>
      <c r="K20">
        <v>1</v>
      </c>
      <c r="L20">
        <v>1</v>
      </c>
      <c r="N20">
        <v>1</v>
      </c>
      <c r="P20">
        <v>42</v>
      </c>
      <c r="Q20" s="17">
        <v>0</v>
      </c>
      <c r="R20" s="17" t="s">
        <v>103</v>
      </c>
      <c r="U20" t="s">
        <v>99</v>
      </c>
    </row>
    <row r="21" spans="1:21" x14ac:dyDescent="0.2">
      <c r="A21">
        <v>19</v>
      </c>
      <c r="B21" t="s">
        <v>55</v>
      </c>
      <c r="C21" t="s">
        <v>64</v>
      </c>
      <c r="D21" s="15">
        <v>23030</v>
      </c>
      <c r="E21">
        <v>58</v>
      </c>
      <c r="F21" t="s">
        <v>61</v>
      </c>
      <c r="G21" s="12" t="s">
        <v>44</v>
      </c>
      <c r="H21" s="15">
        <v>44484</v>
      </c>
      <c r="I21">
        <v>99</v>
      </c>
      <c r="J21">
        <v>353979003</v>
      </c>
      <c r="K21">
        <v>1</v>
      </c>
      <c r="L21">
        <v>1</v>
      </c>
      <c r="N21">
        <v>1</v>
      </c>
      <c r="P21">
        <v>43</v>
      </c>
      <c r="Q21">
        <v>1</v>
      </c>
    </row>
    <row r="22" spans="1:21" x14ac:dyDescent="0.2">
      <c r="A22">
        <v>20</v>
      </c>
      <c r="B22" t="s">
        <v>9</v>
      </c>
      <c r="C22" t="s">
        <v>64</v>
      </c>
      <c r="D22" s="15">
        <v>20831</v>
      </c>
      <c r="E22">
        <v>64</v>
      </c>
      <c r="F22" t="s">
        <v>61</v>
      </c>
      <c r="G22" s="12" t="s">
        <v>44</v>
      </c>
      <c r="H22" s="15">
        <v>44517</v>
      </c>
      <c r="I22">
        <v>92</v>
      </c>
      <c r="J22">
        <v>327000000</v>
      </c>
      <c r="K22">
        <v>1</v>
      </c>
      <c r="L22">
        <v>1</v>
      </c>
      <c r="N22">
        <v>1</v>
      </c>
      <c r="P22">
        <v>44</v>
      </c>
      <c r="Q22">
        <v>1</v>
      </c>
    </row>
    <row r="23" spans="1:21" x14ac:dyDescent="0.2">
      <c r="A23">
        <v>21</v>
      </c>
      <c r="B23" t="s">
        <v>56</v>
      </c>
      <c r="C23" t="s">
        <v>64</v>
      </c>
      <c r="D23" s="15">
        <v>19063</v>
      </c>
      <c r="E23">
        <v>69</v>
      </c>
      <c r="F23" t="s">
        <v>61</v>
      </c>
      <c r="G23" s="14" t="s">
        <v>45</v>
      </c>
      <c r="H23" s="15">
        <v>44517</v>
      </c>
      <c r="I23">
        <v>80</v>
      </c>
      <c r="J23">
        <v>296000000</v>
      </c>
      <c r="K23">
        <v>1</v>
      </c>
      <c r="L23">
        <v>1</v>
      </c>
      <c r="N23">
        <v>1</v>
      </c>
      <c r="P23">
        <v>45</v>
      </c>
      <c r="Q23">
        <v>1</v>
      </c>
    </row>
    <row r="24" spans="1:21" x14ac:dyDescent="0.2">
      <c r="A24">
        <v>22</v>
      </c>
      <c r="B24" t="s">
        <v>62</v>
      </c>
      <c r="C24" t="s">
        <v>64</v>
      </c>
      <c r="D24" s="15">
        <v>19352</v>
      </c>
      <c r="E24">
        <v>68</v>
      </c>
      <c r="F24" t="s">
        <v>61</v>
      </c>
      <c r="G24" s="12" t="s">
        <v>44</v>
      </c>
      <c r="H24" s="15">
        <v>44539</v>
      </c>
      <c r="I24">
        <v>82</v>
      </c>
      <c r="J24">
        <v>298000000</v>
      </c>
      <c r="K24">
        <v>1</v>
      </c>
      <c r="L24">
        <v>1</v>
      </c>
      <c r="N24">
        <v>1</v>
      </c>
      <c r="P24">
        <v>46</v>
      </c>
      <c r="Q24">
        <v>1</v>
      </c>
    </row>
    <row r="25" spans="1:21" x14ac:dyDescent="0.2">
      <c r="A25">
        <v>23</v>
      </c>
      <c r="B25" t="s">
        <v>63</v>
      </c>
      <c r="C25" t="s">
        <v>64</v>
      </c>
      <c r="D25" s="15">
        <v>24969</v>
      </c>
      <c r="E25">
        <v>53</v>
      </c>
      <c r="F25" t="s">
        <v>61</v>
      </c>
      <c r="G25" s="12" t="s">
        <v>44</v>
      </c>
      <c r="H25" s="15">
        <v>44540</v>
      </c>
      <c r="I25">
        <v>67</v>
      </c>
      <c r="J25">
        <v>234000000</v>
      </c>
      <c r="K25">
        <v>1</v>
      </c>
      <c r="L25">
        <v>1</v>
      </c>
      <c r="N25">
        <v>1</v>
      </c>
      <c r="P25">
        <v>47</v>
      </c>
      <c r="Q25">
        <v>1</v>
      </c>
    </row>
    <row r="26" spans="1:21" x14ac:dyDescent="0.2">
      <c r="A26">
        <v>24</v>
      </c>
      <c r="B26" s="18"/>
      <c r="C26" s="18"/>
      <c r="D26" s="18"/>
      <c r="E26" s="18"/>
      <c r="F26" t="s">
        <v>102</v>
      </c>
      <c r="G26" s="13" t="s">
        <v>53</v>
      </c>
      <c r="H26" s="3">
        <v>44540</v>
      </c>
      <c r="J26" s="17" t="s">
        <v>53</v>
      </c>
      <c r="K26" s="17">
        <v>0</v>
      </c>
      <c r="L26" s="17">
        <v>0</v>
      </c>
      <c r="M26" s="17" t="s">
        <v>100</v>
      </c>
      <c r="O26" s="17" t="s">
        <v>101</v>
      </c>
      <c r="P26" s="13" t="s">
        <v>53</v>
      </c>
      <c r="Q26" s="17">
        <v>0</v>
      </c>
      <c r="R26" s="17" t="s">
        <v>101</v>
      </c>
    </row>
  </sheetData>
  <mergeCells count="4">
    <mergeCell ref="K1:M1"/>
    <mergeCell ref="N1:P1"/>
    <mergeCell ref="Q1:R1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Coma3D patient</vt:lpstr>
      <vt:lpstr>Coma3D controle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2022-03-30T13:32:52Z</dcterms:created>
  <dcterms:modified xsi:type="dcterms:W3CDTF">2023-04-24T16:05:56Z</dcterms:modified>
</cp:coreProperties>
</file>